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mart-bi-insight-report-platform\项目最终文档\"/>
    </mc:Choice>
  </mc:AlternateContent>
  <bookViews>
    <workbookView/>
  </bookViews>
  <sheets>
    <sheet name="项目问题跟踪表" sheetId="1" r:id="rId1"/>
    <sheet name="填表说明" sheetId="2" r:id="rId2"/>
  </sheets>
  <definedNames>
    <definedName name="_xlnm._FilterDatabase" localSheetId="0" hidden="1">项目问题跟踪表!$A$5:$N$16</definedName>
    <definedName name="_xlnm.Print_Titles" localSheetId="0">项目问题跟踪表!$1:$5</definedName>
    <definedName name="_xlnm.Print_Area" localSheetId="0">项目问题跟踪表!$A$1:$N$16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<sst xmlns="http://schemas.openxmlformats.org/spreadsheetml/2006/main" count="159" uniqueCount="105">
  <si>
    <t>项目问题跟踪表</t>
  </si>
  <si>
    <t>项目名称</t>
  </si>
  <si>
    <t>智能 BI 数据洞察与报告生成平台</t>
  </si>
  <si>
    <t>项目编号</t>
  </si>
  <si>
    <t>BI-11</t>
  </si>
  <si>
    <t>建立日期</t>
  </si>
  <si>
    <t>项目成员</t>
  </si>
  <si>
    <t>王正、胡辰朋、杜宇涵</t>
  </si>
  <si>
    <t>问题总数</t>
  </si>
  <si>
    <t>打开数</t>
  </si>
  <si>
    <t>关闭数</t>
  </si>
  <si>
    <t>问题编号</t>
  </si>
  <si>
    <t>问题描述</t>
  </si>
  <si>
    <t>严重等级</t>
  </si>
  <si>
    <t>发现阶段</t>
  </si>
  <si>
    <t>发现者</t>
  </si>
  <si>
    <t>发现日期</t>
  </si>
  <si>
    <t>对策</t>
  </si>
  <si>
    <t>计划关闭日期</t>
  </si>
  <si>
    <t>关闭人</t>
  </si>
  <si>
    <t>实际关闭日期</t>
  </si>
  <si>
    <t>验证人</t>
  </si>
  <si>
    <t>当前状态</t>
  </si>
  <si>
    <t>关联用例/提交</t>
  </si>
  <si>
    <t>备注</t>
  </si>
  <si>
    <t>ISS-01</t>
  </si>
  <si>
    <t>Compose 构建失败时一键启动器直接退出，无法自动打开完整系统</t>
  </si>
  <si>
    <t>高</t>
  </si>
  <si>
    <t>系统测试</t>
  </si>
  <si>
    <t>项目组</t>
  </si>
  <si>
    <t>增加 Docker 就绪等待、构建重试、最近镜像恢复和日志提示</t>
  </si>
  <si>
    <t>关闭</t>
  </si>
  <si>
    <t>TC-01/TC-02; a7f6ac9</t>
  </si>
  <si>
    <t>实机启动回归通过</t>
  </si>
  <si>
    <t>ISS-02</t>
  </si>
  <si>
    <t>前端已打开但后端尚未健康，页面显示无法连接后端</t>
  </si>
  <si>
    <t>联调测试</t>
  </si>
  <si>
    <t>健康接口通过后才打开浏览器，并保留重试按钮</t>
  </si>
  <si>
    <t>TC-01; a7f6ac9</t>
  </si>
  <si>
    <t/>
  </si>
  <si>
    <t>ISS-03</t>
  </si>
  <si>
    <t>DeepSeek 配置和连接测试成功，但模板问题仍由本地规则回答</t>
  </si>
  <si>
    <t>验收测试</t>
  </si>
  <si>
    <t>调整 resolver 优先级，启用 AI 时模板与自由问题均优先调用模型</t>
  </si>
  <si>
    <t>TC-07; c70ffa1</t>
  </si>
  <si>
    <t>定向测试通过</t>
  </si>
  <si>
    <t>ISS-04</t>
  </si>
  <si>
    <t>本机代理把 api.deepseek.com 解析到 Fake-IP，安全检查误判私网</t>
  </si>
  <si>
    <t>中</t>
  </si>
  <si>
    <t>AI 联调</t>
  </si>
  <si>
    <t>仅对白名单 DeepSeek 官方 HTTPS 域名兼容 198.18.0.0/15，保留其他私网阻断</t>
  </si>
  <si>
    <t>TC-06; 582cd8f</t>
  </si>
  <si>
    <t>不放宽自定义服务策略</t>
  </si>
  <si>
    <t>ISS-05</t>
  </si>
  <si>
    <t>AI 报告叙述可能生成本地事实中不存在的数字</t>
  </si>
  <si>
    <t>安全测试</t>
  </si>
  <si>
    <t>校验 AI 输出数字集合，出现事实外数字时拒绝并回退本地叙述</t>
  </si>
  <si>
    <t>TC-14; fd73389</t>
  </si>
  <si>
    <t>专项测试覆盖</t>
  </si>
  <si>
    <t>ISS-06</t>
  </si>
  <si>
    <t>后端重启时可能对已存在活动场景再次播种</t>
  </si>
  <si>
    <t>回归测试</t>
  </si>
  <si>
    <t>播种前检查场景状态和现有数据，避免记录数翻倍</t>
  </si>
  <si>
    <t>TC-20; c70ffa1</t>
  </si>
  <si>
    <t>测试环境重启验证</t>
  </si>
  <si>
    <t>ISS-07</t>
  </si>
  <si>
    <t>CSV 直接导入会替换当前数据，用户难以及时发现格式或口径问题</t>
  </si>
  <si>
    <t>需求评审</t>
  </si>
  <si>
    <t>增加无副作用质量预检，展示行数、范围、维度和汇总后再确认导入</t>
  </si>
  <si>
    <t>TC-04/TC-05</t>
  </si>
  <si>
    <t>36 行样例验证</t>
  </si>
  <si>
    <t>ISS-08</t>
  </si>
  <si>
    <t>预测类查询只显示单个数值，缺少依据和决策含义</t>
  </si>
  <si>
    <t>功能验收</t>
  </si>
  <si>
    <t>增加发生、原因线索、建议、预测区间和假设模拟板块</t>
  </si>
  <si>
    <t>TC-12/TC-13</t>
  </si>
  <si>
    <t>强调非因果结论</t>
  </si>
  <si>
    <t>ISS-09</t>
  </si>
  <si>
    <t>场景问题模板过少且行业术语不匹配</t>
  </si>
  <si>
    <t>界面验收</t>
  </si>
  <si>
    <t>为五行业分别建立四类问题库并与受控意图绑定</t>
  </si>
  <si>
    <t>TC-03</t>
  </si>
  <si>
    <t>ISS-10</t>
  </si>
  <si>
    <t>洞察结果无法形成可跟踪的业务行动</t>
  </si>
  <si>
    <t>需求扩展</t>
  </si>
  <si>
    <t>增加行动草案、人工确认、执行中和复盘关闭状态</t>
  </si>
  <si>
    <t>TC-16</t>
  </si>
  <si>
    <t>未复盘不得关闭</t>
  </si>
  <si>
    <t>ISS-11</t>
  </si>
  <si>
    <t>移动端查询页可能出现控件拥挤和横向溢出</t>
  </si>
  <si>
    <t>低</t>
  </si>
  <si>
    <t>兼容测试</t>
  </si>
  <si>
    <t>调整响应式布局，并纳入 390x844 Chrome E2E</t>
  </si>
  <si>
    <t>TC-19</t>
  </si>
  <si>
    <t>截图已归档</t>
  </si>
  <si>
    <t>项目问题跟踪表填表说明</t>
  </si>
  <si>
    <t>使用人员</t>
  </si>
  <si>
    <t>使用时机</t>
  </si>
  <si>
    <t>项目监控、测试或演示发现偏差时</t>
  </si>
  <si>
    <t>功能说明</t>
  </si>
  <si>
    <t>记录项目管理和产品问题，并持续跟踪到验证关闭</t>
  </si>
  <si>
    <t>高：阻断发布或有安全/数据风险；中：影响主要体验；低：不阻断核心流程</t>
  </si>
  <si>
    <t>打开、处理中、关闭</t>
  </si>
  <si>
    <t>说明</t>
  </si>
  <si>
    <t>本表不记录个人分工；发现者、关闭人和验证人仅表示事件记录。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</si>
</sst>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yyyy\-m\-d"/>
  </numFmts>
  <fonts count="28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7"/>
      <color rgb="FFFFFFFF"/>
      <name val="微软雅黑"/>
      <charset val="134"/>
    </font>
    <font>
      <b/>
      <sz val="10"/>
      <color rgb="FF24445E"/>
      <name val="微软雅黑"/>
      <charset val="134"/>
    </font>
    <font>
      <b/>
      <sz val="9"/>
      <color rgb="FFFFFFFF"/>
      <name val="微软雅黑"/>
      <charset val="134"/>
    </font>
    <font>
      <sz val="8.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69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/>
      <right style="thin">
        <color rgb="FFEAECF0"/>
      </right>
      <top/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78" fontId="3" fillId="0" borderId="0" xfId="0" applyNumberFormat="1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vertical="top" wrapText="1"/>
    </xf>
    <xf numFmtId="179" fontId="7" fillId="3" borderId="2" xfId="0" applyNumberFormat="1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179" fontId="7" fillId="4" borderId="2" xfId="0" applyNumberFormat="1" applyFont="1" applyFill="1" applyBorder="1" applyAlignment="1">
      <alignment vertical="top" wrapText="1"/>
    </xf>
    <xf numFmtId="17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DEC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00"/>
  <sheetViews>
    <sheetView showGridLines="0" tabSelected="1" workbookViewId="0">
      <pane ySplit="5" topLeftCell="A6" activePane="bottomLeft" state="frozen"/>
      <selection/>
      <selection pane="bottomLeft" activeCell="A1" sqref="A1:N1"/>
    </sheetView>
  </sheetViews>
  <sheetFormatPr defaultColWidth="9" defaultRowHeight="14"/>
  <cols>
    <col min="1" max="1" width="12" customWidth="1"/>
    <col min="2" max="2" width="42" customWidth="1"/>
    <col min="3" max="3" width="11" customWidth="1"/>
    <col min="4" max="4" width="14" customWidth="1"/>
    <col min="5" max="5" width="12" customWidth="1"/>
    <col min="6" max="6" width="17" customWidth="1"/>
    <col min="7" max="7" width="44" customWidth="1"/>
    <col min="8" max="8" width="17" customWidth="1"/>
    <col min="9" max="9" width="12" customWidth="1"/>
    <col min="10" max="10" width="17" customWidth="1"/>
    <col min="11" max="12" width="12" customWidth="1"/>
    <col min="13" max="13" width="22" customWidth="1"/>
    <col min="14" max="14" width="24" customWidth="1"/>
  </cols>
  <sheetData>
    <row r="1" ht="34" customHeight="1" spans="1:14">
      <c r="A1" s="6" t="s">
        <v>0</v>
      </c>
    </row>
    <row r="2" ht="25" customHeight="1" spans="1:14">
      <c r="A2" s="7" t="s">
        <v>1</v>
      </c>
      <c r="B2" s="8" t="s">
        <v>2</v>
      </c>
      <c r="C2" s="9"/>
      <c r="D2" s="9"/>
      <c r="E2" s="9"/>
      <c r="F2" s="7" t="s">
        <v>3</v>
      </c>
      <c r="G2" s="8" t="s">
        <v>4</v>
      </c>
      <c r="H2" s="9"/>
      <c r="I2" s="7" t="s">
        <v>5</v>
      </c>
      <c r="J2" s="10">
        <v>46274</v>
      </c>
      <c r="K2" s="9"/>
      <c r="L2" s="9"/>
      <c r="M2" s="9"/>
      <c r="N2" s="9"/>
    </row>
    <row r="3" ht="25" customHeight="1" spans="1:14">
      <c r="A3" s="7" t="s">
        <v>6</v>
      </c>
      <c r="B3" s="8" t="s">
        <v>7</v>
      </c>
      <c r="C3" s="9"/>
      <c r="D3" s="9"/>
      <c r="E3" s="9"/>
      <c r="F3" s="7" t="s">
        <v>8</v>
      </c>
      <c r="G3" s="8">
        <f>COUNTA(A6:A100)</f>
        <v>11</v>
      </c>
      <c r="H3" s="9"/>
      <c r="I3" s="7" t="s">
        <v>9</v>
      </c>
      <c r="J3" s="8">
        <f>COUNTIFS(A6:A100,"&lt;&gt;",L6:L100,"&lt;&gt;关闭")</f>
        <v>0</v>
      </c>
      <c r="K3" s="9"/>
      <c r="L3" s="7" t="s">
        <v>10</v>
      </c>
      <c r="M3" s="8">
        <f>COUNTIF(L6:L100,"关闭")</f>
        <v>11</v>
      </c>
      <c r="N3" s="9"/>
    </row>
    <row r="5" spans="1:14">
      <c r="A5" s="11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  <c r="K5" s="11" t="s">
        <v>21</v>
      </c>
      <c r="L5" s="11" t="s">
        <v>22</v>
      </c>
      <c r="M5" s="11" t="s">
        <v>23</v>
      </c>
      <c r="N5" s="11" t="s">
        <v>24</v>
      </c>
    </row>
    <row r="6" ht="68" customHeight="1" spans="1:14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3">
        <v>46273</v>
      </c>
      <c r="G6" s="12" t="s">
        <v>30</v>
      </c>
      <c r="H6" s="13">
        <v>46273</v>
      </c>
      <c r="I6" s="12" t="s">
        <v>29</v>
      </c>
      <c r="J6" s="13">
        <v>46273</v>
      </c>
      <c r="K6" s="12" t="s">
        <v>29</v>
      </c>
      <c r="L6" s="12" t="s">
        <v>31</v>
      </c>
      <c r="M6" s="12" t="s">
        <v>32</v>
      </c>
      <c r="N6" s="12" t="s">
        <v>33</v>
      </c>
    </row>
    <row r="7" ht="68" customHeight="1" spans="1:14">
      <c r="A7" s="14" t="s">
        <v>34</v>
      </c>
      <c r="B7" s="14" t="s">
        <v>35</v>
      </c>
      <c r="C7" s="14" t="s">
        <v>27</v>
      </c>
      <c r="D7" s="14" t="s">
        <v>36</v>
      </c>
      <c r="E7" s="14" t="s">
        <v>29</v>
      </c>
      <c r="F7" s="15">
        <v>46273</v>
      </c>
      <c r="G7" s="14" t="s">
        <v>37</v>
      </c>
      <c r="H7" s="15">
        <v>46273</v>
      </c>
      <c r="I7" s="14" t="s">
        <v>29</v>
      </c>
      <c r="J7" s="15">
        <v>46273</v>
      </c>
      <c r="K7" s="14" t="s">
        <v>29</v>
      </c>
      <c r="L7" s="14" t="s">
        <v>31</v>
      </c>
      <c r="M7" s="14" t="s">
        <v>38</v>
      </c>
      <c r="N7" s="14" t="s">
        <v>39</v>
      </c>
    </row>
    <row r="8" ht="68" customHeight="1" spans="1:14">
      <c r="A8" s="12" t="s">
        <v>40</v>
      </c>
      <c r="B8" s="12" t="s">
        <v>41</v>
      </c>
      <c r="C8" s="12" t="s">
        <v>27</v>
      </c>
      <c r="D8" s="12" t="s">
        <v>42</v>
      </c>
      <c r="E8" s="12" t="s">
        <v>29</v>
      </c>
      <c r="F8" s="13">
        <v>46273</v>
      </c>
      <c r="G8" s="12" t="s">
        <v>43</v>
      </c>
      <c r="H8" s="13">
        <v>46274</v>
      </c>
      <c r="I8" s="12" t="s">
        <v>29</v>
      </c>
      <c r="J8" s="13">
        <v>46274</v>
      </c>
      <c r="K8" s="12" t="s">
        <v>29</v>
      </c>
      <c r="L8" s="12" t="s">
        <v>31</v>
      </c>
      <c r="M8" s="12" t="s">
        <v>44</v>
      </c>
      <c r="N8" s="12" t="s">
        <v>45</v>
      </c>
    </row>
    <row r="9" ht="68" customHeight="1" spans="1:14">
      <c r="A9" s="14" t="s">
        <v>46</v>
      </c>
      <c r="B9" s="14" t="s">
        <v>47</v>
      </c>
      <c r="C9" s="14" t="s">
        <v>48</v>
      </c>
      <c r="D9" s="14" t="s">
        <v>49</v>
      </c>
      <c r="E9" s="14" t="s">
        <v>29</v>
      </c>
      <c r="F9" s="15">
        <v>46272</v>
      </c>
      <c r="G9" s="14" t="s">
        <v>50</v>
      </c>
      <c r="H9" s="15">
        <v>46272</v>
      </c>
      <c r="I9" s="14" t="s">
        <v>29</v>
      </c>
      <c r="J9" s="15">
        <v>46272</v>
      </c>
      <c r="K9" s="14" t="s">
        <v>29</v>
      </c>
      <c r="L9" s="14" t="s">
        <v>31</v>
      </c>
      <c r="M9" s="14" t="s">
        <v>51</v>
      </c>
      <c r="N9" s="14" t="s">
        <v>52</v>
      </c>
    </row>
    <row r="10" ht="68" customHeight="1" spans="1:14">
      <c r="A10" s="12" t="s">
        <v>53</v>
      </c>
      <c r="B10" s="12" t="s">
        <v>54</v>
      </c>
      <c r="C10" s="12" t="s">
        <v>27</v>
      </c>
      <c r="D10" s="12" t="s">
        <v>55</v>
      </c>
      <c r="E10" s="12" t="s">
        <v>29</v>
      </c>
      <c r="F10" s="13">
        <v>46272</v>
      </c>
      <c r="G10" s="12" t="s">
        <v>56</v>
      </c>
      <c r="H10" s="13">
        <v>46272</v>
      </c>
      <c r="I10" s="12" t="s">
        <v>29</v>
      </c>
      <c r="J10" s="13">
        <v>46272</v>
      </c>
      <c r="K10" s="12" t="s">
        <v>29</v>
      </c>
      <c r="L10" s="12" t="s">
        <v>31</v>
      </c>
      <c r="M10" s="12" t="s">
        <v>57</v>
      </c>
      <c r="N10" s="12" t="s">
        <v>58</v>
      </c>
    </row>
    <row r="11" ht="68" customHeight="1" spans="1:14">
      <c r="A11" s="14" t="s">
        <v>59</v>
      </c>
      <c r="B11" s="14" t="s">
        <v>60</v>
      </c>
      <c r="C11" s="14" t="s">
        <v>27</v>
      </c>
      <c r="D11" s="14" t="s">
        <v>61</v>
      </c>
      <c r="E11" s="14" t="s">
        <v>29</v>
      </c>
      <c r="F11" s="15">
        <v>46274</v>
      </c>
      <c r="G11" s="14" t="s">
        <v>62</v>
      </c>
      <c r="H11" s="15">
        <v>46274</v>
      </c>
      <c r="I11" s="14" t="s">
        <v>29</v>
      </c>
      <c r="J11" s="15">
        <v>46274</v>
      </c>
      <c r="K11" s="14" t="s">
        <v>29</v>
      </c>
      <c r="L11" s="14" t="s">
        <v>31</v>
      </c>
      <c r="M11" s="14" t="s">
        <v>63</v>
      </c>
      <c r="N11" s="14" t="s">
        <v>64</v>
      </c>
    </row>
    <row r="12" ht="68" customHeight="1" spans="1:14">
      <c r="A12" s="12" t="s">
        <v>65</v>
      </c>
      <c r="B12" s="12" t="s">
        <v>66</v>
      </c>
      <c r="C12" s="12" t="s">
        <v>48</v>
      </c>
      <c r="D12" s="12" t="s">
        <v>67</v>
      </c>
      <c r="E12" s="12" t="s">
        <v>29</v>
      </c>
      <c r="F12" s="13">
        <v>46235</v>
      </c>
      <c r="G12" s="12" t="s">
        <v>68</v>
      </c>
      <c r="H12" s="13">
        <v>46235</v>
      </c>
      <c r="I12" s="12" t="s">
        <v>29</v>
      </c>
      <c r="J12" s="13">
        <v>46235</v>
      </c>
      <c r="K12" s="12" t="s">
        <v>29</v>
      </c>
      <c r="L12" s="12" t="s">
        <v>31</v>
      </c>
      <c r="M12" s="12" t="s">
        <v>69</v>
      </c>
      <c r="N12" s="12" t="s">
        <v>70</v>
      </c>
    </row>
    <row r="13" ht="68" customHeight="1" spans="1:14">
      <c r="A13" s="14" t="s">
        <v>71</v>
      </c>
      <c r="B13" s="14" t="s">
        <v>72</v>
      </c>
      <c r="C13" s="14" t="s">
        <v>48</v>
      </c>
      <c r="D13" s="14" t="s">
        <v>73</v>
      </c>
      <c r="E13" s="14" t="s">
        <v>29</v>
      </c>
      <c r="F13" s="15">
        <v>46234</v>
      </c>
      <c r="G13" s="14" t="s">
        <v>74</v>
      </c>
      <c r="H13" s="15">
        <v>46235</v>
      </c>
      <c r="I13" s="14" t="s">
        <v>29</v>
      </c>
      <c r="J13" s="15">
        <v>46235</v>
      </c>
      <c r="K13" s="14" t="s">
        <v>29</v>
      </c>
      <c r="L13" s="14" t="s">
        <v>31</v>
      </c>
      <c r="M13" s="14" t="s">
        <v>75</v>
      </c>
      <c r="N13" s="14" t="s">
        <v>76</v>
      </c>
    </row>
    <row r="14" ht="68" customHeight="1" spans="1:14">
      <c r="A14" s="12" t="s">
        <v>77</v>
      </c>
      <c r="B14" s="12" t="s">
        <v>78</v>
      </c>
      <c r="C14" s="12" t="s">
        <v>48</v>
      </c>
      <c r="D14" s="12" t="s">
        <v>79</v>
      </c>
      <c r="E14" s="12" t="s">
        <v>29</v>
      </c>
      <c r="F14" s="13">
        <v>46234</v>
      </c>
      <c r="G14" s="12" t="s">
        <v>80</v>
      </c>
      <c r="H14" s="13">
        <v>46236</v>
      </c>
      <c r="I14" s="12" t="s">
        <v>29</v>
      </c>
      <c r="J14" s="13">
        <v>46236</v>
      </c>
      <c r="K14" s="12" t="s">
        <v>29</v>
      </c>
      <c r="L14" s="12" t="s">
        <v>31</v>
      </c>
      <c r="M14" s="12" t="s">
        <v>81</v>
      </c>
      <c r="N14" s="12" t="s">
        <v>39</v>
      </c>
    </row>
    <row r="15" ht="68" customHeight="1" spans="1:14">
      <c r="A15" s="14" t="s">
        <v>82</v>
      </c>
      <c r="B15" s="14" t="s">
        <v>83</v>
      </c>
      <c r="C15" s="14" t="s">
        <v>48</v>
      </c>
      <c r="D15" s="14" t="s">
        <v>84</v>
      </c>
      <c r="E15" s="14" t="s">
        <v>29</v>
      </c>
      <c r="F15" s="15">
        <v>46235</v>
      </c>
      <c r="G15" s="14" t="s">
        <v>85</v>
      </c>
      <c r="H15" s="15">
        <v>46236</v>
      </c>
      <c r="I15" s="14" t="s">
        <v>29</v>
      </c>
      <c r="J15" s="15">
        <v>46236</v>
      </c>
      <c r="K15" s="14" t="s">
        <v>29</v>
      </c>
      <c r="L15" s="14" t="s">
        <v>31</v>
      </c>
      <c r="M15" s="14" t="s">
        <v>86</v>
      </c>
      <c r="N15" s="14" t="s">
        <v>87</v>
      </c>
    </row>
    <row r="16" ht="68" customHeight="1" spans="1:14">
      <c r="A16" s="12" t="s">
        <v>88</v>
      </c>
      <c r="B16" s="12" t="s">
        <v>89</v>
      </c>
      <c r="C16" s="12" t="s">
        <v>90</v>
      </c>
      <c r="D16" s="12" t="s">
        <v>91</v>
      </c>
      <c r="E16" s="12" t="s">
        <v>29</v>
      </c>
      <c r="F16" s="13">
        <v>46234</v>
      </c>
      <c r="G16" s="12" t="s">
        <v>92</v>
      </c>
      <c r="H16" s="13">
        <v>46272</v>
      </c>
      <c r="I16" s="12" t="s">
        <v>29</v>
      </c>
      <c r="J16" s="13">
        <v>46272</v>
      </c>
      <c r="K16" s="12" t="s">
        <v>29</v>
      </c>
      <c r="L16" s="12" t="s">
        <v>31</v>
      </c>
      <c r="M16" s="12" t="s">
        <v>93</v>
      </c>
      <c r="N16" s="12" t="s">
        <v>94</v>
      </c>
    </row>
    <row r="17" spans="6:10">
      <c r="F17" s="16"/>
      <c r="H17" s="16"/>
      <c r="J17" s="16"/>
    </row>
    <row r="18" spans="6:10">
      <c r="F18" s="16"/>
      <c r="H18" s="16"/>
      <c r="J18" s="16"/>
    </row>
    <row r="19" spans="6:10">
      <c r="F19" s="16"/>
      <c r="H19" s="16"/>
      <c r="J19" s="16"/>
    </row>
    <row r="20" spans="6:10">
      <c r="F20" s="16"/>
      <c r="H20" s="16"/>
      <c r="J20" s="16"/>
    </row>
    <row r="21" spans="6:10">
      <c r="F21" s="16"/>
      <c r="H21" s="16"/>
      <c r="J21" s="16"/>
    </row>
    <row r="22" spans="6:10">
      <c r="F22" s="16"/>
      <c r="H22" s="16"/>
      <c r="J22" s="16"/>
    </row>
    <row r="23" spans="6:10">
      <c r="F23" s="16"/>
      <c r="H23" s="16"/>
      <c r="J23" s="16"/>
    </row>
    <row r="24" spans="6:10">
      <c r="F24" s="16"/>
      <c r="H24" s="16"/>
      <c r="J24" s="16"/>
    </row>
    <row r="25" spans="6:10">
      <c r="F25" s="16"/>
      <c r="H25" s="16"/>
      <c r="J25" s="16"/>
    </row>
    <row r="26" spans="6:10">
      <c r="F26" s="16"/>
      <c r="H26" s="16"/>
      <c r="J26" s="16"/>
    </row>
    <row r="27" spans="6:10">
      <c r="F27" s="16"/>
      <c r="H27" s="16"/>
      <c r="J27" s="16"/>
    </row>
    <row r="28" spans="6:10">
      <c r="F28" s="16"/>
      <c r="H28" s="16"/>
      <c r="J28" s="16"/>
    </row>
    <row r="29" spans="6:10">
      <c r="F29" s="16"/>
      <c r="H29" s="16"/>
      <c r="J29" s="16"/>
    </row>
    <row r="30" spans="6:10">
      <c r="F30" s="16"/>
      <c r="H30" s="16"/>
      <c r="J30" s="16"/>
    </row>
    <row r="31" spans="6:10">
      <c r="F31" s="16"/>
      <c r="H31" s="16"/>
      <c r="J31" s="16"/>
    </row>
    <row r="32" spans="6:10">
      <c r="F32" s="16"/>
      <c r="H32" s="16"/>
      <c r="J32" s="16"/>
    </row>
    <row r="33" spans="6:10">
      <c r="F33" s="16"/>
      <c r="H33" s="16"/>
      <c r="J33" s="16"/>
    </row>
    <row r="34" spans="6:10">
      <c r="F34" s="16"/>
      <c r="H34" s="16"/>
      <c r="J34" s="16"/>
    </row>
    <row r="35" spans="6:10">
      <c r="F35" s="16"/>
      <c r="H35" s="16"/>
      <c r="J35" s="16"/>
    </row>
    <row r="36" spans="6:10">
      <c r="F36" s="16"/>
      <c r="H36" s="16"/>
      <c r="J36" s="16"/>
    </row>
    <row r="37" spans="6:10">
      <c r="F37" s="16"/>
      <c r="H37" s="16"/>
      <c r="J37" s="16"/>
    </row>
    <row r="38" spans="6:10">
      <c r="F38" s="16"/>
      <c r="H38" s="16"/>
      <c r="J38" s="16"/>
    </row>
    <row r="39" spans="6:10">
      <c r="F39" s="16"/>
      <c r="H39" s="16"/>
      <c r="J39" s="16"/>
    </row>
    <row r="40" spans="6:10">
      <c r="F40" s="16"/>
      <c r="H40" s="16"/>
      <c r="J40" s="16"/>
    </row>
    <row r="41" spans="6:10">
      <c r="F41" s="16"/>
      <c r="H41" s="16"/>
      <c r="J41" s="16"/>
    </row>
    <row r="42" spans="6:10">
      <c r="F42" s="16"/>
      <c r="H42" s="16"/>
      <c r="J42" s="16"/>
    </row>
    <row r="43" spans="6:10">
      <c r="F43" s="16"/>
      <c r="H43" s="16"/>
      <c r="J43" s="16"/>
    </row>
    <row r="44" spans="6:10">
      <c r="F44" s="16"/>
      <c r="H44" s="16"/>
      <c r="J44" s="16"/>
    </row>
    <row r="45" spans="6:10">
      <c r="F45" s="16"/>
      <c r="H45" s="16"/>
      <c r="J45" s="16"/>
    </row>
    <row r="46" spans="6:10">
      <c r="F46" s="16"/>
      <c r="H46" s="16"/>
      <c r="J46" s="16"/>
    </row>
    <row r="47" spans="6:10">
      <c r="F47" s="16"/>
      <c r="H47" s="16"/>
      <c r="J47" s="16"/>
    </row>
    <row r="48" spans="6:10">
      <c r="F48" s="16"/>
      <c r="H48" s="16"/>
      <c r="J48" s="16"/>
    </row>
    <row r="49" spans="6:10">
      <c r="F49" s="16"/>
      <c r="H49" s="16"/>
      <c r="J49" s="16"/>
    </row>
    <row r="50" spans="6:10">
      <c r="F50" s="16"/>
      <c r="H50" s="16"/>
      <c r="J50" s="16"/>
    </row>
    <row r="51" spans="6:10">
      <c r="F51" s="16"/>
      <c r="H51" s="16"/>
      <c r="J51" s="16"/>
    </row>
    <row r="52" spans="6:10">
      <c r="F52" s="16"/>
      <c r="H52" s="16"/>
      <c r="J52" s="16"/>
    </row>
    <row r="53" spans="6:10">
      <c r="F53" s="16"/>
      <c r="H53" s="16"/>
      <c r="J53" s="16"/>
    </row>
    <row r="54" spans="6:10">
      <c r="F54" s="16"/>
      <c r="H54" s="16"/>
      <c r="J54" s="16"/>
    </row>
    <row r="55" spans="6:10">
      <c r="F55" s="16"/>
      <c r="H55" s="16"/>
      <c r="J55" s="16"/>
    </row>
    <row r="56" spans="6:10">
      <c r="F56" s="16"/>
      <c r="H56" s="16"/>
      <c r="J56" s="16"/>
    </row>
    <row r="57" spans="6:10">
      <c r="F57" s="16"/>
      <c r="H57" s="16"/>
      <c r="J57" s="16"/>
    </row>
    <row r="58" spans="6:10">
      <c r="F58" s="16"/>
      <c r="H58" s="16"/>
      <c r="J58" s="16"/>
    </row>
    <row r="59" spans="6:10">
      <c r="F59" s="16"/>
      <c r="H59" s="16"/>
      <c r="J59" s="16"/>
    </row>
    <row r="60" spans="6:10">
      <c r="F60" s="16"/>
      <c r="H60" s="16"/>
      <c r="J60" s="16"/>
    </row>
    <row r="61" spans="6:10">
      <c r="F61" s="16"/>
      <c r="H61" s="16"/>
      <c r="J61" s="16"/>
    </row>
    <row r="62" spans="6:10">
      <c r="F62" s="16"/>
      <c r="H62" s="16"/>
      <c r="J62" s="16"/>
    </row>
    <row r="63" spans="6:10">
      <c r="F63" s="16"/>
      <c r="H63" s="16"/>
      <c r="J63" s="16"/>
    </row>
    <row r="64" spans="6:10">
      <c r="F64" s="16"/>
      <c r="H64" s="16"/>
      <c r="J64" s="16"/>
    </row>
    <row r="65" spans="6:10">
      <c r="F65" s="16"/>
      <c r="H65" s="16"/>
      <c r="J65" s="16"/>
    </row>
    <row r="66" spans="6:10">
      <c r="F66" s="16"/>
      <c r="H66" s="16"/>
      <c r="J66" s="16"/>
    </row>
    <row r="67" spans="6:10">
      <c r="F67" s="16"/>
      <c r="H67" s="16"/>
      <c r="J67" s="16"/>
    </row>
    <row r="68" spans="6:10">
      <c r="F68" s="16"/>
      <c r="H68" s="16"/>
      <c r="J68" s="16"/>
    </row>
    <row r="69" spans="6:10">
      <c r="F69" s="16"/>
      <c r="H69" s="16"/>
      <c r="J69" s="16"/>
    </row>
    <row r="70" spans="6:10">
      <c r="F70" s="16"/>
      <c r="H70" s="16"/>
      <c r="J70" s="16"/>
    </row>
    <row r="71" spans="6:10">
      <c r="F71" s="16"/>
      <c r="H71" s="16"/>
      <c r="J71" s="16"/>
    </row>
    <row r="72" spans="6:10">
      <c r="F72" s="16"/>
      <c r="H72" s="16"/>
      <c r="J72" s="16"/>
    </row>
    <row r="73" spans="6:10">
      <c r="F73" s="16"/>
      <c r="H73" s="16"/>
      <c r="J73" s="16"/>
    </row>
    <row r="74" spans="6:10">
      <c r="F74" s="16"/>
      <c r="H74" s="16"/>
      <c r="J74" s="16"/>
    </row>
    <row r="75" spans="6:10">
      <c r="F75" s="16"/>
      <c r="H75" s="16"/>
      <c r="J75" s="16"/>
    </row>
    <row r="76" spans="6:10">
      <c r="F76" s="16"/>
      <c r="H76" s="16"/>
      <c r="J76" s="16"/>
    </row>
    <row r="77" spans="6:10">
      <c r="F77" s="16"/>
      <c r="H77" s="16"/>
      <c r="J77" s="16"/>
    </row>
    <row r="78" spans="6:10">
      <c r="F78" s="16"/>
      <c r="H78" s="16"/>
      <c r="J78" s="16"/>
    </row>
    <row r="79" spans="6:10">
      <c r="F79" s="16"/>
      <c r="H79" s="16"/>
      <c r="J79" s="16"/>
    </row>
    <row r="80" spans="6:10">
      <c r="F80" s="16"/>
      <c r="H80" s="16"/>
      <c r="J80" s="16"/>
    </row>
    <row r="81" spans="6:10">
      <c r="F81" s="16"/>
      <c r="H81" s="16"/>
      <c r="J81" s="16"/>
    </row>
    <row r="82" spans="6:10">
      <c r="F82" s="16"/>
      <c r="H82" s="16"/>
      <c r="J82" s="16"/>
    </row>
    <row r="83" spans="6:10">
      <c r="F83" s="16"/>
      <c r="H83" s="16"/>
      <c r="J83" s="16"/>
    </row>
    <row r="84" spans="6:10">
      <c r="F84" s="16"/>
      <c r="H84" s="16"/>
      <c r="J84" s="16"/>
    </row>
    <row r="85" spans="6:10">
      <c r="F85" s="16"/>
      <c r="H85" s="16"/>
      <c r="J85" s="16"/>
    </row>
    <row r="86" spans="6:10">
      <c r="F86" s="16"/>
      <c r="H86" s="16"/>
      <c r="J86" s="16"/>
    </row>
    <row r="87" spans="6:10">
      <c r="F87" s="16"/>
      <c r="H87" s="16"/>
      <c r="J87" s="16"/>
    </row>
    <row r="88" spans="6:10">
      <c r="F88" s="16"/>
      <c r="H88" s="16"/>
      <c r="J88" s="16"/>
    </row>
    <row r="89" spans="6:10">
      <c r="F89" s="16"/>
      <c r="H89" s="16"/>
      <c r="J89" s="16"/>
    </row>
    <row r="90" spans="6:10">
      <c r="F90" s="16"/>
      <c r="H90" s="16"/>
      <c r="J90" s="16"/>
    </row>
    <row r="91" spans="6:10">
      <c r="F91" s="16"/>
      <c r="H91" s="16"/>
      <c r="J91" s="16"/>
    </row>
    <row r="92" spans="6:10">
      <c r="F92" s="16"/>
      <c r="H92" s="16"/>
      <c r="J92" s="16"/>
    </row>
    <row r="93" spans="6:10">
      <c r="F93" s="16"/>
      <c r="H93" s="16"/>
      <c r="J93" s="16"/>
    </row>
    <row r="94" spans="6:10">
      <c r="F94" s="16"/>
      <c r="H94" s="16"/>
      <c r="J94" s="16"/>
    </row>
    <row r="95" spans="6:10">
      <c r="F95" s="16"/>
      <c r="H95" s="16"/>
      <c r="J95" s="16"/>
    </row>
    <row r="96" spans="6:10">
      <c r="F96" s="16"/>
      <c r="H96" s="16"/>
      <c r="J96" s="16"/>
    </row>
    <row r="97" spans="6:10">
      <c r="F97" s="16"/>
      <c r="H97" s="16"/>
      <c r="J97" s="16"/>
    </row>
    <row r="98" spans="6:10">
      <c r="F98" s="16"/>
      <c r="H98" s="16"/>
      <c r="J98" s="16"/>
    </row>
    <row r="99" spans="6:10">
      <c r="F99" s="16"/>
      <c r="H99" s="16"/>
      <c r="J99" s="16"/>
    </row>
    <row r="100" spans="6:10">
      <c r="F100" s="16"/>
      <c r="H100" s="16"/>
      <c r="J100" s="16"/>
    </row>
  </sheetData>
  <autoFilter xmlns:etc="http://www.wps.cn/officeDocument/2017/etCustomData" ref="A5:N16" etc:filterBottomFollowUsedRange="0">
    <extLst/>
  </autoFilter>
  <mergeCells count="3">
    <mergeCell ref="A1:N1"/>
    <mergeCell ref="B2:E2"/>
    <mergeCell ref="B3:E3"/>
  </mergeCells>
  <conditionalFormatting sqref="A6:N100">
    <cfRule type="expression" dxfId="0" priority="1">
      <formula>$L6="打开"</formula>
    </cfRule>
  </conditionalFormatting>
  <dataValidations count="2">
    <dataValidation type="list" sqref="C6:C100">
      <formula1>"高,中,低"</formula1>
    </dataValidation>
    <dataValidation type="list" sqref="L6:L100">
      <formula1>"打开,处理中,关闭"</formula1>
    </dataValidation>
  </dataValidations>
  <printOptions horizontalCentered="1"/>
  <pageMargins left="0.75" right="0.75" top="1" bottom="1" header="0.5" footer="0.5"/>
  <pageSetup paperSize="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selection activeCell="A1" sqref="A1:F1"/>
    </sheetView>
  </sheetViews>
  <sheetFormatPr defaultColWidth="9" defaultRowHeight="14" outlineLevelRow="7" outlineLevelCol="5"/>
  <cols>
    <col min="1" max="1" width="16" customWidth="1"/>
    <col min="2" max="2" width="24" customWidth="1"/>
    <col min="3" max="6" width="16" customWidth="1"/>
  </cols>
  <sheetData>
    <row r="1" ht="30" customHeight="1" spans="1:6">
      <c r="A1" s="1" t="s">
        <v>95</v>
      </c>
    </row>
    <row r="3" ht="34" customHeight="1" spans="1:6">
      <c r="A3" s="2" t="s">
        <v>96</v>
      </c>
      <c r="B3" s="3" t="s">
        <v>29</v>
      </c>
      <c r="C3" s="3"/>
      <c r="D3" s="3"/>
      <c r="E3" s="3"/>
      <c r="F3" s="3"/>
    </row>
    <row r="4" ht="34" customHeight="1" spans="1:6">
      <c r="A4" s="4" t="s">
        <v>97</v>
      </c>
      <c r="B4" s="5" t="s">
        <v>98</v>
      </c>
      <c r="C4" s="5"/>
      <c r="D4" s="5"/>
      <c r="E4" s="5"/>
      <c r="F4" s="5"/>
    </row>
    <row r="5" ht="34" customHeight="1" spans="1:6">
      <c r="A5" s="2" t="s">
        <v>99</v>
      </c>
      <c r="B5" s="3" t="s">
        <v>100</v>
      </c>
      <c r="C5" s="3"/>
      <c r="D5" s="3"/>
      <c r="E5" s="3"/>
      <c r="F5" s="3"/>
    </row>
    <row r="6" ht="34" customHeight="1" spans="1:6">
      <c r="A6" s="4" t="s">
        <v>13</v>
      </c>
      <c r="B6" s="5" t="s">
        <v>101</v>
      </c>
      <c r="C6" s="5"/>
      <c r="D6" s="5"/>
      <c r="E6" s="5"/>
      <c r="F6" s="5"/>
    </row>
    <row r="7" ht="34" customHeight="1" spans="1:6">
      <c r="A7" s="2" t="s">
        <v>22</v>
      </c>
      <c r="B7" s="3" t="s">
        <v>102</v>
      </c>
      <c r="C7" s="3"/>
      <c r="D7" s="3"/>
      <c r="E7" s="3"/>
      <c r="F7" s="3"/>
    </row>
    <row r="8" ht="34" customHeight="1" spans="1:6">
      <c r="A8" s="4" t="s">
        <v>103</v>
      </c>
      <c r="B8" s="5" t="s">
        <v>104</v>
      </c>
      <c r="C8" s="5"/>
      <c r="D8" s="5"/>
      <c r="E8" s="5"/>
      <c r="F8" s="5"/>
    </row>
  </sheetData>
  <mergeCells count="7">
    <mergeCell ref="A1:F1"/>
    <mergeCell ref="B3:F3"/>
    <mergeCell ref="B4:F4"/>
    <mergeCell ref="B5:F5"/>
    <mergeCell ref="B6:F6"/>
    <mergeCell ref="B7:F7"/>
    <mergeCell ref="B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项目问题跟踪表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王正</cp:lastModifiedBy>
  <dcterms:created xsi:type="dcterms:W3CDTF">2026-09-09T01:44:00Z</dcterms:created>
  <dcterms:modified xsi:type="dcterms:W3CDTF">2026-09-09T01:44:53Z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0352C95223E74C558C2CF23E5CED96DC_12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